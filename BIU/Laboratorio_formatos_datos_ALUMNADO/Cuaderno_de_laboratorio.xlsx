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4fce9e324d41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" sheetId="1" r:id="R9e031b4426cf4d27"/>
    <x:sheet xmlns:r="http://schemas.openxmlformats.org/officeDocument/2006/relationships" name="Arquitectura" sheetId="2" r:id="Rc5a1e6191055474f"/>
    <x:sheet xmlns:r="http://schemas.openxmlformats.org/officeDocument/2006/relationships" name="Defensa" sheetId="3" r:id="R1ff96a4cda754f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x"/>
    <x:numFmt numFmtId="202" formatCode="0.0x"/>
    <x:numFmt numFmtId="203" formatCode="0%"/>
  </x:numFmts>
  <x:fonts count="6">
    <x:font>
      <x:sz val="11"/>
      <x:name val="Carlito"/>
    </x:font>
    <x:font>
      <x:sz val="10"/>
      <x:color rgb="FF24313D"/>
      <x:name val="Arial"/>
    </x:font>
    <x:font>
      <x:b/>
      <x:sz val="15"/>
      <x:color rgb="FF17324D"/>
      <x:name val="Arial"/>
    </x:font>
    <x:font>
      <x:i/>
      <x:sz val="10"/>
      <x:color rgb="FF5C6B78"/>
      <x:name val="Arial"/>
    </x:font>
    <x:font>
      <x:b/>
      <x:sz val="10"/>
      <x:color rgb="FFFFFFFF"/>
      <x:name val="Arial"/>
    </x:font>
    <x:font>
      <x:i/>
      <x:sz val="9"/>
      <x:color rgb="FF5C6B7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EAF4FB"/>
      </x:patternFill>
    </x:fill>
  </x:fills>
  <x:borders count="17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</x:border>
    <x:border>
      <x:left style="thin">
        <x:color rgb="FFD6B656"/>
      </x:left>
      <x:right style="thin">
        <x:color rgb="FFD6B656"/>
      </x:right>
    </x:border>
    <x:border>
      <x:left style="thin">
        <x:color rgb="FFD6B656"/>
      </x:left>
      <x:right style="thin">
        <x:color rgb="FFD6B656"/>
      </x:right>
      <x:bottom style="thin">
        <x:color rgb="FFD6B656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B8C4CE"/>
      </x:left>
      <x:right style="thin">
        <x:color rgb="FFB8C4CE"/>
      </x:right>
      <x:top style="thin">
        <x:color rgb="FFB8C4CE"/>
      </x:top>
      <x:bottom style="thin">
        <x:color rgb="FFB8C4CE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3" borderId="11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center"/>
    </x:xf>
    <x:xf numFmtId="0" fontId="1" fillId="3" borderId="13" xfId="0" applyNumberFormat="1" applyFont="1" applyFill="1" applyBorder="1" applyAlignment="1">
      <x:alignment vertical="center"/>
    </x:xf>
    <x:xf numFmtId="0" fontId="1" fillId="3" borderId="14" xfId="0" applyNumberFormat="1" applyFont="1" applyFill="1" applyBorder="1" applyAlignment="1">
      <x:alignment vertical="center"/>
    </x:xf>
    <x:xf numFmtId="0" fontId="1" fillId="3" borderId="15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vertical="center" wrapText="1"/>
    </x:xf>
    <x:xf numFmtId="0" fontId="1" fillId="3" borderId="7" xfId="0" applyNumberFormat="1" applyFont="1" applyFill="1" applyBorder="1" applyAlignment="1">
      <x:alignment vertical="center" wrapText="1"/>
    </x:xf>
    <x:xf numFmtId="0" fontId="1" fillId="3" borderId="8" xfId="0" applyNumberFormat="1" applyFont="1" applyFill="1" applyBorder="1" applyAlignment="1">
      <x:alignment vertical="center" wrapText="1"/>
    </x:xf>
    <x:xf numFmtId="0" fontId="1" fillId="3" borderId="9" xfId="0" applyNumberFormat="1" applyFont="1" applyFill="1" applyBorder="1" applyAlignment="1">
      <x:alignment vertical="center" wrapText="1"/>
    </x:xf>
    <x:xf numFmtId="0" fontId="1" fillId="3" borderId="10" xfId="0" applyNumberFormat="1" applyFont="1" applyFill="1" applyBorder="1" applyAlignment="1">
      <x:alignment vertical="center" wrapText="1"/>
    </x:xf>
    <x:xf numFmtId="0" fontId="1" fillId="3" borderId="11" xfId="0" applyNumberFormat="1" applyFont="1" applyFill="1" applyBorder="1" applyAlignment="1">
      <x:alignment vertical="center" wrapText="1"/>
    </x:xf>
    <x:xf numFmtId="0" fontId="1" fillId="3" borderId="12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4" fillId="2" borderId="16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vertical="center"/>
    </x:xf>
    <x:xf numFmtId="0" fontId="1" fillId="3" borderId="16" xfId="0" applyNumberFormat="1" applyFont="1" applyFill="1" applyBorder="1" applyAlignment="1">
      <x:alignment vertical="center"/>
    </x:xf>
    <x:xf numFmtId="0" fontId="1" fillId="3" borderId="16" xfId="0" applyNumberFormat="1" applyFont="1" applyFill="1" applyBorder="1" applyAlignment="1">
      <x:alignment vertical="center" wrapText="1"/>
    </x:xf>
    <x:xf numFmtId="200" fontId="1" fillId="0" borderId="16" xfId="0" applyNumberFormat="1" applyFont="1" applyFill="1" applyBorder="1" applyAlignment="1">
      <x:alignment vertical="center"/>
    </x:xf>
    <x:xf numFmtId="201" fontId="1" fillId="0" borderId="16" xfId="0" applyNumberFormat="1" applyFont="1" applyFill="1" applyBorder="1" applyAlignment="1">
      <x:alignment vertical="center"/>
    </x:xf>
    <x:xf numFmtId="202" fontId="1" fillId="0" borderId="16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6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3" fontId="1" fillId="0" borderId="16" xfId="0" applyNumberFormat="1" applyFont="1" applyFill="1" applyBorder="1" applyAlignment="1">
      <x:alignment vertical="center"/>
    </x:xf>
    <x:xf numFmtId="203" fontId="1" fillId="0" borderId="1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2e56b541434056" /><Relationship Type="http://schemas.openxmlformats.org/officeDocument/2006/relationships/theme" Target="/xl/theme/theme1.xml" Id="R4b4b0842f3d2499a" /><Relationship Type="http://schemas.openxmlformats.org/officeDocument/2006/relationships/sharedStrings" Target="/xl/sharedStrings.xml" Id="Rc98acd40be174fa9" /><Relationship Type="http://schemas.openxmlformats.org/officeDocument/2006/relationships/worksheet" Target="/xl/worksheets/sheet1.xml" Id="R9e031b4426cf4d27" /><Relationship Type="http://schemas.openxmlformats.org/officeDocument/2006/relationships/worksheet" Target="/xl/worksheets/sheet2.xml" Id="Rc5a1e6191055474f" /><Relationship Type="http://schemas.openxmlformats.org/officeDocument/2006/relationships/worksheet" Target="/xl/worksheets/sheet3.xml" Id="R1ff96a4cda754f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30" hidden="0" customWidth="1"/>
    <x:col min="6" max="6" width="3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Laboratorio avanzado: formatos y arquitectura de datos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2" t="str">
        <x:v>Registra medidas observadas. Las celdas amarillas son editables. Justifica con bytes, archivos, compatibilidad y patrón de acceso.</x:v>
      </x:c>
      <x:c r="B3" s="43"/>
      <x:c r="C3" s="43"/>
      <x:c r="D3" s="43"/>
      <x:c r="E3" s="43"/>
      <x:c r="F3" s="43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15" hidden="0" customHeight="1">
      <x:c r="A5" s="35" t="str">
        <x:v>Experimento 1. Tamaño y compresión</x:v>
      </x:c>
      <x:c r="B5" s="35" t="str">
        <x:v>Bytes</x:v>
      </x:c>
      <x:c r="C5" s="35" t="str">
        <x:v>MiB</x:v>
      </x:c>
      <x:c r="D5" s="35" t="str">
        <x:v>CSV / tamaño</x:v>
      </x:c>
      <x:c r="E5" s="35" t="str">
        <x:v>Lectura técnica</x:v>
      </x:c>
      <x:c r="F5" s="35" t="str">
        <x:v>Decisión</x:v>
      </x:c>
      <x:c r="G5" s="2"/>
      <x:c r="H5" s="2"/>
      <x:c r="I5" s="2"/>
      <x:c r="J5" s="2"/>
    </x:row>
    <x:row r="6" ht="15" hidden="0" customHeight="1">
      <x:c r="A6" s="36" t="str">
        <x:v>CSV</x:v>
      </x:c>
      <x:c r="B6" s="37"/>
      <x:c r="C6" s="39" t="str">
        <x:f>IF(B6="","",B6/1048576)</x:f>
      </x:c>
      <x:c r="D6" s="40" t="str">
        <x:f>IF(B6="","",B$6/B6)</x:f>
      </x:c>
      <x:c r="E6" s="38"/>
      <x:c r="F6" s="38"/>
      <x:c r="G6" s="2"/>
      <x:c r="H6" s="2"/>
      <x:c r="I6" s="2"/>
      <x:c r="J6" s="2"/>
    </x:row>
    <x:row r="7" ht="15" hidden="0" customHeight="1">
      <x:c r="A7" s="36" t="str">
        <x:v>CSV gzip</x:v>
      </x:c>
      <x:c r="B7" s="37"/>
      <x:c r="C7" s="39" t="str">
        <x:f>IF(B7="","",B7/1048576)</x:f>
      </x:c>
      <x:c r="D7" s="40" t="str">
        <x:f>IF(B7="","",B$6/B7)</x:f>
      </x:c>
      <x:c r="E7" s="38"/>
      <x:c r="F7" s="38"/>
      <x:c r="G7" s="2"/>
      <x:c r="H7" s="2"/>
      <x:c r="I7" s="2"/>
      <x:c r="J7" s="2"/>
    </x:row>
    <x:row r="8" ht="15" hidden="0" customHeight="1">
      <x:c r="A8" s="36" t="str">
        <x:v>NDJSON</x:v>
      </x:c>
      <x:c r="B8" s="37"/>
      <x:c r="C8" s="39" t="str">
        <x:f>IF(B8="","",B8/1048576)</x:f>
      </x:c>
      <x:c r="D8" s="40" t="str">
        <x:f>IF(B8="","",B$6/B8)</x:f>
      </x:c>
      <x:c r="E8" s="38"/>
      <x:c r="F8" s="38"/>
      <x:c r="G8" s="2"/>
      <x:c r="H8" s="2"/>
      <x:c r="I8" s="2"/>
      <x:c r="J8" s="2"/>
    </x:row>
    <x:row r="9" ht="15" hidden="0" customHeight="1">
      <x:c r="A9" s="36" t="str">
        <x:v>NDJSON gzip</x:v>
      </x:c>
      <x:c r="B9" s="37"/>
      <x:c r="C9" s="39" t="str">
        <x:f>IF(B9="","",B9/1048576)</x:f>
      </x:c>
      <x:c r="D9" s="40" t="str">
        <x:f>IF(B9="","",B$6/B9)</x:f>
      </x:c>
      <x:c r="E9" s="38"/>
      <x:c r="F9" s="38"/>
      <x:c r="G9" s="2"/>
      <x:c r="H9" s="2"/>
      <x:c r="I9" s="2"/>
      <x:c r="J9" s="2"/>
    </x:row>
    <x:row r="10" ht="15" hidden="0" customHeight="1">
      <x:c r="A10" s="36" t="str">
        <x:v>Columnar comprimido</x:v>
      </x:c>
      <x:c r="B10" s="37"/>
      <x:c r="C10" s="39" t="str">
        <x:f>IF(B10="","",B10/1048576)</x:f>
      </x:c>
      <x:c r="D10" s="40" t="str">
        <x:f>IF(B10="","",B$6/B10)</x:f>
      </x:c>
      <x:c r="E10" s="38"/>
      <x:c r="F10" s="38"/>
      <x:c r="G10" s="2"/>
      <x:c r="H10" s="2"/>
      <x:c r="I10" s="2"/>
      <x:c r="J10" s="2"/>
    </x:row>
    <x:row r="11" ht="15" hidden="0" customHeight="1">
      <x:c r="A11" s="36"/>
      <x:c r="B11" s="36"/>
      <x:c r="C11" s="36"/>
      <x:c r="D11" s="36"/>
      <x:c r="E11" s="36"/>
      <x:c r="F11" s="36"/>
      <x:c r="G11" s="2"/>
      <x:c r="H11" s="2"/>
      <x:c r="I11" s="2"/>
      <x:c r="J11" s="2"/>
    </x:row>
    <x:row r="12" ht="15" hidden="0" customHeight="1">
      <x:c r="A12" s="35" t="str">
        <x:v>Experimento 2. Proyección</x:v>
      </x:c>
      <x:c r="B12" s="35" t="str">
        <x:v>Tiempo (ms)</x:v>
      </x:c>
      <x:c r="C12" s="35" t="str">
        <x:v>Bytes candidatos</x:v>
      </x:c>
      <x:c r="D12" s="35" t="str">
        <x:v>Resultado medio</x:v>
      </x:c>
      <x:c r="E12" s="35" t="str">
        <x:v>Filas</x:v>
      </x:c>
      <x:c r="F12" s="35" t="str">
        <x:v>Interpretación</x:v>
      </x:c>
      <x:c r="G12" s="2"/>
      <x:c r="H12" s="2"/>
      <x:c r="I12" s="2"/>
      <x:c r="J12" s="2"/>
    </x:row>
    <x:row r="13" ht="15" hidden="0" customHeight="1">
      <x:c r="A13" s="36" t="str">
        <x:v>CSV completo</x:v>
      </x:c>
      <x:c r="B13" s="37"/>
      <x:c r="C13" s="37"/>
      <x:c r="D13" s="37"/>
      <x:c r="E13" s="37"/>
      <x:c r="F13" s="37"/>
      <x:c r="G13" s="2"/>
      <x:c r="H13" s="2"/>
      <x:c r="I13" s="2"/>
      <x:c r="J13" s="2"/>
    </x:row>
    <x:row r="14" ht="15" hidden="0" customHeight="1">
      <x:c r="A14" s="36" t="str">
        <x:v>NDJSON completo</x:v>
      </x:c>
      <x:c r="B14" s="37"/>
      <x:c r="C14" s="37"/>
      <x:c r="D14" s="37"/>
      <x:c r="E14" s="37"/>
      <x:c r="F14" s="37"/>
      <x:c r="G14" s="2"/>
      <x:c r="H14" s="2"/>
      <x:c r="I14" s="2"/>
      <x:c r="J14" s="2"/>
    </x:row>
    <x:row r="15" ht="15" hidden="0" customHeight="1">
      <x:c r="A15" s="36" t="str">
        <x:v>Fecha + temperatura</x:v>
      </x:c>
      <x:c r="B15" s="37"/>
      <x:c r="C15" s="37"/>
      <x:c r="D15" s="37"/>
      <x:c r="E15" s="37"/>
      <x:c r="F15" s="37"/>
      <x:c r="G15" s="2"/>
      <x:c r="H15" s="2"/>
      <x:c r="I15" s="2"/>
      <x:c r="J15" s="2"/>
    </x:row>
    <x:row r="16" ht="15" hidden="0" customHeight="1">
      <x:c r="A16" s="36"/>
      <x:c r="B16" s="36"/>
      <x:c r="C16" s="36"/>
      <x:c r="D16" s="36"/>
      <x:c r="E16" s="36"/>
      <x:c r="F16" s="36"/>
      <x:c r="G16" s="2"/>
      <x:c r="H16" s="2"/>
      <x:c r="I16" s="2"/>
      <x:c r="J16" s="2"/>
    </x:row>
    <x:row r="17" ht="15" hidden="0" customHeight="1">
      <x:c r="A17" s="35" t="str">
        <x:v>Experimento 3. Poda de particiones</x:v>
      </x:c>
      <x:c r="B17" s="35" t="str">
        <x:v>Archivos</x:v>
      </x:c>
      <x:c r="C17" s="35" t="str">
        <x:v>Bytes candidatos</x:v>
      </x:c>
      <x:c r="D17" s="35" t="str">
        <x:v>Tiempo (ms)</x:v>
      </x:c>
      <x:c r="E17" s="35" t="str">
        <x:v>Resultado medio</x:v>
      </x:c>
      <x:c r="F17" s="35" t="str">
        <x:v>Reducción</x:v>
      </x:c>
      <x:c r="G17" s="2"/>
      <x:c r="H17" s="2"/>
      <x:c r="I17" s="2"/>
      <x:c r="J17" s="2"/>
    </x:row>
    <x:row r="18" ht="15" hidden="0" customHeight="1">
      <x:c r="A18" s="36" t="str">
        <x:v>Escaneo total</x:v>
      </x:c>
      <x:c r="B18" s="37"/>
      <x:c r="C18" s="37"/>
      <x:c r="D18" s="37"/>
      <x:c r="E18" s="37"/>
      <x:c r="F18" s="36" t="str">
        <x:v>Referencia</x:v>
      </x:c>
      <x:c r="G18" s="2"/>
      <x:c r="H18" s="2"/>
      <x:c r="I18" s="2"/>
      <x:c r="J18" s="2"/>
    </x:row>
    <x:row r="19" ht="15" hidden="0" customHeight="1">
      <x:c r="A19" s="36" t="str">
        <x:v>Con partition pruning</x:v>
      </x:c>
      <x:c r="B19" s="37"/>
      <x:c r="C19" s="37"/>
      <x:c r="D19" s="37"/>
      <x:c r="E19" s="37"/>
      <x:c r="F19" s="41" t="str">
        <x:f>IF(C19="","",C18/C19)</x:f>
      </x:c>
      <x:c r="G19" s="2"/>
      <x:c r="H19" s="2"/>
      <x:c r="I19" s="2"/>
      <x:c r="J19" s="2"/>
    </x:row>
    <x:row r="20" ht="15" hidden="0" customHeight="1">
      <x:c r="A20" s="36"/>
      <x:c r="B20" s="36"/>
      <x:c r="C20" s="36"/>
      <x:c r="D20" s="36"/>
      <x:c r="E20" s="36"/>
      <x:c r="F20" s="36"/>
      <x:c r="G20" s="2"/>
      <x:c r="H20" s="2"/>
      <x:c r="I20" s="2"/>
      <x:c r="J20" s="2"/>
    </x:row>
    <x:row r="21" ht="15" hidden="0" customHeight="1">
      <x:c r="A21" s="35" t="str">
        <x:v>Experimento 4. Evolución de esquema</x:v>
      </x:c>
      <x:c r="B21" s="35" t="str">
        <x:v>Compatible</x:v>
      </x:c>
      <x:c r="C21" s="35" t="str">
        <x:v>Errores</x:v>
      </x:c>
      <x:c r="D21" s="35" t="str">
        <x:v>Tipo de cambio</x:v>
      </x:c>
      <x:c r="E21" s="35" t="str">
        <x:v>Estrategia</x:v>
      </x:c>
      <x:c r="F21" s="35" t="str">
        <x:v>Riesgo residual</x:v>
      </x:c>
      <x:c r="G21" s="2"/>
      <x:c r="H21" s="2"/>
      <x:c r="I21" s="2"/>
      <x:c r="J21" s="2"/>
    </x:row>
    <x:row r="22" ht="15" hidden="0" customHeight="1">
      <x:c r="A22" s="36" t="str">
        <x:v>v1</x:v>
      </x:c>
      <x:c r="B22" s="37"/>
      <x:c r="C22" s="37"/>
      <x:c r="D22" s="37"/>
      <x:c r="E22" s="37"/>
      <x:c r="F22" s="37"/>
      <x:c r="G22" s="2"/>
      <x:c r="H22" s="2"/>
      <x:c r="I22" s="2"/>
      <x:c r="J22" s="2"/>
    </x:row>
    <x:row r="23" ht="15" hidden="0" customHeight="1">
      <x:c r="A23" s="36" t="str">
        <x:v>v2 con battery_pct</x:v>
      </x:c>
      <x:c r="B23" s="37"/>
      <x:c r="C23" s="37"/>
      <x:c r="D23" s="37"/>
      <x:c r="E23" s="37"/>
      <x:c r="F23" s="37"/>
      <x:c r="G23" s="2"/>
      <x:c r="H23" s="2"/>
      <x:c r="I23" s="2"/>
      <x:c r="J23" s="2"/>
    </x:row>
    <x:row r="24" ht="15" hidden="0" customHeight="1">
      <x:c r="A24" s="36" t="str">
        <x:v>v3 speed_kmh como texto</x:v>
      </x:c>
      <x:c r="B24" s="37"/>
      <x:c r="C24" s="37"/>
      <x:c r="D24" s="37"/>
      <x:c r="E24" s="37"/>
      <x:c r="F24" s="37"/>
      <x:c r="G24" s="2"/>
      <x:c r="H24" s="2"/>
      <x:c r="I24" s="2"/>
      <x:c r="J24" s="2"/>
    </x:row>
    <x:row r="25" ht="15" hidden="0" customHeight="1">
      <x:c r="A25" s="36"/>
      <x:c r="B25" s="36"/>
      <x:c r="C25" s="36"/>
      <x:c r="D25" s="36"/>
      <x:c r="E25" s="36"/>
      <x:c r="F25" s="36"/>
      <x:c r="G25" s="2"/>
      <x:c r="H25" s="2"/>
      <x:c r="I25" s="2"/>
      <x:c r="J25" s="2"/>
    </x:row>
    <x:row r="26" ht="15" hidden="0" customHeight="1">
      <x:c r="A26" s="35" t="str">
        <x:v>Experimento 5. CSV corrupto</x:v>
      </x:c>
      <x:c r="B26" s="35" t="str">
        <x:v>Fila</x:v>
      </x:c>
      <x:c r="C26" s="35" t="str">
        <x:v>Columnas esperadas</x:v>
      </x:c>
      <x:c r="D26" s="35" t="str">
        <x:v>Columnas observadas</x:v>
      </x:c>
      <x:c r="E26" s="35" t="str">
        <x:v>Causa raíz</x:v>
      </x:c>
      <x:c r="F26" s="35" t="str">
        <x:v>Corrección</x:v>
      </x:c>
      <x:c r="G26" s="2"/>
      <x:c r="H26" s="2"/>
      <x:c r="I26" s="2"/>
      <x:c r="J26" s="2"/>
    </x:row>
    <x:row r="27" ht="15" hidden="0" customHeight="1">
      <x:c r="A27" s="36" t="str">
        <x:v>Coma no escapada</x:v>
      </x:c>
      <x:c r="B27" s="37"/>
      <x:c r="C27" s="37"/>
      <x:c r="D27" s="37"/>
      <x:c r="E27" s="37"/>
      <x:c r="F27" s="37"/>
      <x:c r="G27" s="2"/>
      <x:c r="H27" s="2"/>
      <x:c r="I27" s="2"/>
      <x:c r="J27" s="2"/>
    </x:row>
    <x:row r="28" ht="15" hidden="0" customHeight="1">
      <x:c r="A28" s="36"/>
      <x:c r="B28" s="36"/>
      <x:c r="C28" s="36"/>
      <x:c r="D28" s="36"/>
      <x:c r="E28" s="36"/>
      <x:c r="F28" s="36"/>
      <x:c r="G28" s="2"/>
      <x:c r="H28" s="2"/>
      <x:c r="I28" s="2"/>
      <x:c r="J28" s="2"/>
    </x:row>
    <x:row r="29" ht="15" hidden="0" customHeight="1">
      <x:c r="A29" s="35" t="str">
        <x:v>Conclusión técnica</x:v>
      </x:c>
      <x:c r="B29" s="35" t="str">
        <x:v>Evidencia 1</x:v>
      </x:c>
      <x:c r="C29" s="35" t="str">
        <x:v>Evidencia 2</x:v>
      </x:c>
      <x:c r="D29" s="35" t="str">
        <x:v>Límite del experimento</x:v>
      </x:c>
      <x:c r="E29" s="35" t="str">
        <x:v>Decisión de arquitectura</x:v>
      </x:c>
      <x:c r="F29" s="35" t="str">
        <x:v>Condición que la cambiaría</x:v>
      </x:c>
      <x:c r="G29" s="2"/>
      <x:c r="H29" s="2"/>
      <x:c r="I29" s="2"/>
      <x:c r="J29" s="2"/>
    </x:row>
    <x:row r="30" ht="15" hidden="0" customHeight="1">
      <x:c r="A30" s="38"/>
      <x:c r="B30" s="38"/>
      <x:c r="C30" s="38"/>
      <x:c r="D30" s="38"/>
      <x:c r="E30" s="38"/>
      <x:c r="F30" s="38"/>
      <x:c r="G30" s="2"/>
      <x:c r="H30" s="2"/>
      <x:c r="I30" s="2"/>
      <x:c r="J30" s="2"/>
    </x:row>
    <x:row r="31" ht="15" hidden="0" customHeight="1">
      <x:c r="A31" s="38"/>
      <x:c r="B31" s="38"/>
      <x:c r="C31" s="38"/>
      <x:c r="D31" s="38"/>
      <x:c r="E31" s="38"/>
      <x:c r="F31" s="38"/>
      <x:c r="G31" s="2"/>
      <x:c r="H31" s="2"/>
      <x:c r="I31" s="2"/>
      <x:c r="J31" s="2"/>
    </x:row>
    <x:row r="32" ht="15" hidden="0" customHeight="1">
      <x:c r="A32" s="38"/>
      <x:c r="B32" s="38"/>
      <x:c r="C32" s="38"/>
      <x:c r="D32" s="38"/>
      <x:c r="E32" s="38"/>
      <x:c r="F32" s="38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34" t="str">
        <x:v>Fuente: dataset sintético reproducible generado por generar_datos.py. Los tiempos dependen del equipo; compara también bytes y archivos.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878B5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Caso de arquitectura: telemetría a escala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15" hidden="0" customHeight="1">
      <x:c r="A4" s="35" t="str">
        <x:v>Contexto</x:v>
      </x:c>
      <x:c r="B4" s="35" t="str">
        <x:v>Volumen</x:v>
      </x:c>
      <x:c r="C4" s="35" t="str">
        <x:v>Patrón de escritura</x:v>
      </x:c>
      <x:c r="D4" s="35" t="str">
        <x:v>Patrón de lectura</x:v>
      </x:c>
      <x:c r="E4" s="35" t="str">
        <x:v>SLA</x:v>
      </x:c>
      <x:c r="F4" s="35" t="str">
        <x:v>Cambio esperado</x:v>
      </x:c>
      <x:c r="G4" s="46"/>
      <x:c r="H4" s="2"/>
      <x:c r="I4" s="2"/>
      <x:c r="J4" s="2"/>
    </x:row>
    <x:row r="5" ht="24" hidden="0" customHeight="1">
      <x:c r="A5" s="45" t="str">
        <x:v>Flota logística europea</x:v>
      </x:c>
      <x:c r="B5" s="45" t="str">
        <x:v>1.200 millones de eventos/año</x:v>
      </x:c>
      <x:c r="C5" s="45" t="str">
        <x:v>Continuo, eventos independientes</x:v>
      </x:c>
      <x:c r="D5" s="45" t="str">
        <x:v>Informes diarios y análisis histórico por columnas</x:v>
      </x:c>
      <x:c r="E5" s="45" t="str">
        <x:v>Panel diario &lt; 30 s</x:v>
      </x:c>
      <x:c r="F5" s="45" t="str">
        <x:v>Nuevos sensores cada trimestre</x:v>
      </x:c>
      <x:c r="G5" s="46"/>
      <x:c r="H5" s="2"/>
      <x:c r="I5" s="2"/>
      <x:c r="J5" s="2"/>
    </x:row>
    <x:row r="6" ht="15" hidden="0" customHeight="1">
      <x:c r="A6" s="46"/>
      <x:c r="B6" s="46"/>
      <x:c r="C6" s="46"/>
      <x:c r="D6" s="46"/>
      <x:c r="E6" s="46"/>
      <x:c r="F6" s="46"/>
      <x:c r="G6" s="46"/>
      <x:c r="H6" s="2"/>
      <x:c r="I6" s="2"/>
      <x:c r="J6" s="2"/>
    </x:row>
    <x:row r="7" ht="15" hidden="0" customHeight="1">
      <x:c r="A7" s="35" t="str">
        <x:v>Capa</x:v>
      </x:c>
      <x:c r="B7" s="35" t="str">
        <x:v>Necesidad dominante</x:v>
      </x:c>
      <x:c r="C7" s="35" t="str">
        <x:v>Formato</x:v>
      </x:c>
      <x:c r="D7" s="35" t="str">
        <x:v>Compresión</x:v>
      </x:c>
      <x:c r="E7" s="35" t="str">
        <x:v>Particionado</x:v>
      </x:c>
      <x:c r="F7" s="35" t="str">
        <x:v>Contrato/esquema</x:v>
      </x:c>
      <x:c r="G7" s="35" t="str">
        <x:v>Riesgo y mitigación</x:v>
      </x:c>
      <x:c r="H7" s="2"/>
      <x:c r="I7" s="2"/>
      <x:c r="J7" s="2"/>
    </x:row>
    <x:row r="8" ht="15" hidden="0" customHeight="1">
      <x:c r="A8" s="46" t="str">
        <x:v>Ingesta</x:v>
      </x:c>
      <x:c r="B8" s="46" t="str">
        <x:v>Alta tasa de escritura</x:v>
      </x:c>
      <x:c r="C8" s="38"/>
      <x:c r="D8" s="38"/>
      <x:c r="E8" s="38"/>
      <x:c r="F8" s="38"/>
      <x:c r="G8" s="38"/>
      <x:c r="H8" s="2"/>
      <x:c r="I8" s="2"/>
      <x:c r="J8" s="2"/>
    </x:row>
    <x:row r="9" ht="15" hidden="0" customHeight="1">
      <x:c r="A9" s="46" t="str">
        <x:v>Zona raw</x:v>
      </x:c>
      <x:c r="B9" s="46" t="str">
        <x:v>Trazabilidad y reproceso</x:v>
      </x:c>
      <x:c r="C9" s="38"/>
      <x:c r="D9" s="38"/>
      <x:c r="E9" s="38"/>
      <x:c r="F9" s="38"/>
      <x:c r="G9" s="38"/>
      <x:c r="H9" s="2"/>
      <x:c r="I9" s="2"/>
      <x:c r="J9" s="2"/>
    </x:row>
    <x:row r="10" ht="15" hidden="0" customHeight="1">
      <x:c r="A10" s="46" t="str">
        <x:v>Zona analítica</x:v>
      </x:c>
      <x:c r="B10" s="46" t="str">
        <x:v>Projection y predicate pushdown</x:v>
      </x:c>
      <x:c r="C10" s="38"/>
      <x:c r="D10" s="38"/>
      <x:c r="E10" s="38"/>
      <x:c r="F10" s="38"/>
      <x:c r="G10" s="38"/>
      <x:c r="H10" s="2"/>
      <x:c r="I10" s="2"/>
      <x:c r="J10" s="2"/>
    </x:row>
    <x:row r="11" ht="15" hidden="0" customHeight="1">
      <x:c r="A11" s="46" t="str">
        <x:v>Exportación a proveedor</x:v>
      </x:c>
      <x:c r="B11" s="46" t="str">
        <x:v>Interoperabilidad</x:v>
      </x:c>
      <x:c r="C11" s="38"/>
      <x:c r="D11" s="38"/>
      <x:c r="E11" s="38"/>
      <x:c r="F11" s="38"/>
      <x:c r="G11" s="38"/>
      <x:c r="H11" s="2"/>
      <x:c r="I11" s="2"/>
      <x:c r="J11" s="2"/>
    </x:row>
    <x:row r="12" ht="15" hidden="0" customHeight="1">
      <x:c r="A12" s="46"/>
      <x:c r="B12" s="46"/>
      <x:c r="C12" s="46"/>
      <x:c r="D12" s="46"/>
      <x:c r="E12" s="46"/>
      <x:c r="F12" s="46"/>
      <x:c r="G12" s="46"/>
      <x:c r="H12" s="2"/>
      <x:c r="I12" s="2"/>
      <x:c r="J12" s="2"/>
    </x:row>
    <x:row r="13" ht="15" hidden="0" customHeight="1">
      <x:c r="A13" s="35" t="str">
        <x:v>Decisión crítica</x:v>
      </x:c>
      <x:c r="B13" s="35" t="str">
        <x:v>Opción A</x:v>
      </x:c>
      <x:c r="C13" s="35" t="str">
        <x:v>Opción B</x:v>
      </x:c>
      <x:c r="D13" s="35" t="str">
        <x:v>Criterio medible</x:v>
      </x:c>
      <x:c r="E13" s="35" t="str">
        <x:v>Elección</x:v>
      </x:c>
      <x:c r="F13" s="35" t="str">
        <x:v>Coste asumido</x:v>
      </x:c>
      <x:c r="G13" s="35" t="str">
        <x:v>Cuándo revisarla</x:v>
      </x:c>
      <x:c r="H13" s="2"/>
      <x:c r="I13" s="2"/>
      <x:c r="J13" s="2"/>
    </x:row>
    <x:row r="14" ht="15" hidden="0" customHeight="1">
      <x:c r="A14" s="46" t="str">
        <x:v>NDJSON vs Avro en ingesta</x:v>
      </x:c>
      <x:c r="B14" s="46" t="str">
        <x:v>NDJSON</x:v>
      </x:c>
      <x:c r="C14" s="46" t="str">
        <x:v>Avro</x:v>
      </x:c>
      <x:c r="D14" s="38"/>
      <x:c r="E14" s="38"/>
      <x:c r="F14" s="38"/>
      <x:c r="G14" s="38"/>
      <x:c r="H14" s="2"/>
      <x:c r="I14" s="2"/>
      <x:c r="J14" s="2"/>
    </x:row>
    <x:row r="15" ht="15" hidden="0" customHeight="1">
      <x:c r="A15" s="46" t="str">
        <x:v>gzip vs snappy</x:v>
      </x:c>
      <x:c r="B15" s="46" t="str">
        <x:v>gzip</x:v>
      </x:c>
      <x:c r="C15" s="46" t="str">
        <x:v>snappy</x:v>
      </x:c>
      <x:c r="D15" s="38"/>
      <x:c r="E15" s="38"/>
      <x:c r="F15" s="38"/>
      <x:c r="G15" s="38"/>
      <x:c r="H15" s="2"/>
      <x:c r="I15" s="2"/>
      <x:c r="J15" s="2"/>
    </x:row>
    <x:row r="16" ht="15" hidden="0" customHeight="1">
      <x:c r="A16" s="46" t="str">
        <x:v>Partición diaria vs horaria</x:v>
      </x:c>
      <x:c r="B16" s="46" t="str">
        <x:v>día</x:v>
      </x:c>
      <x:c r="C16" s="46" t="str">
        <x:v>hora</x:v>
      </x:c>
      <x:c r="D16" s="38"/>
      <x:c r="E16" s="38"/>
      <x:c r="F16" s="38"/>
      <x:c r="G16" s="38"/>
      <x:c r="H16" s="2"/>
      <x:c r="I16" s="2"/>
      <x:c r="J16" s="2"/>
    </x:row>
    <x:row r="17" ht="15" hidden="0" customHeight="1">
      <x:c r="A17" s="46" t="str">
        <x:v>Fecha vs vehicle_id</x:v>
      </x:c>
      <x:c r="B17" s="46" t="str">
        <x:v>event_date</x:v>
      </x:c>
      <x:c r="C17" s="46" t="str">
        <x:v>vehicle_id</x:v>
      </x:c>
      <x:c r="D17" s="38"/>
      <x:c r="E17" s="38"/>
      <x:c r="F17" s="38"/>
      <x:c r="G17" s="38"/>
      <x:c r="H17" s="2"/>
      <x:c r="I17" s="2"/>
      <x:c r="J17" s="2"/>
    </x:row>
    <x:row r="18" ht="15" hidden="0" customHeight="1">
      <x:c r="A18" s="46" t="str">
        <x:v>Nullable vs cambio de tipo</x:v>
      </x:c>
      <x:c r="B18" s="46" t="str">
        <x:v>campo opcional</x:v>
      </x:c>
      <x:c r="C18" s="46" t="str">
        <x:v>reutilizar campo</x:v>
      </x:c>
      <x:c r="D18" s="38"/>
      <x:c r="E18" s="38"/>
      <x:c r="F18" s="38"/>
      <x:c r="G18" s="38"/>
      <x:c r="H18" s="2"/>
      <x:c r="I18" s="2"/>
      <x:c r="J18" s="2"/>
    </x:row>
    <x:row r="19" ht="15" hidden="0" customHeight="1">
      <x:c r="A19" s="46"/>
      <x:c r="B19" s="46"/>
      <x:c r="C19" s="46"/>
      <x:c r="D19" s="46"/>
      <x:c r="E19" s="46"/>
      <x:c r="F19" s="46"/>
      <x:c r="G19" s="46"/>
      <x:c r="H19" s="2"/>
      <x:c r="I19" s="2"/>
      <x:c r="J19" s="2"/>
    </x:row>
    <x:row r="20" ht="15" hidden="0" customHeight="1">
      <x:c r="A20" s="35" t="str">
        <x:v>Pregunta de comité</x:v>
      </x:c>
      <x:c r="B20" s="35" t="str">
        <x:v>Respuesta</x:v>
      </x:c>
      <x:c r="C20" s="35" t="str">
        <x:v>Evidencia del laboratorio</x:v>
      </x:c>
      <x:c r="D20" s="35" t="str">
        <x:v>Supuesto</x:v>
      </x:c>
      <x:c r="E20" s="35" t="str">
        <x:v>Fallo posible</x:v>
      </x:c>
      <x:c r="F20" s="35" t="str">
        <x:v>Señal de alerta</x:v>
      </x:c>
      <x:c r="G20" s="35" t="str">
        <x:v>Acción correctora</x:v>
      </x:c>
      <x:c r="H20" s="2"/>
      <x:c r="I20" s="2"/>
      <x:c r="J20" s="2"/>
    </x:row>
    <x:row r="21" ht="15" hidden="0" customHeight="1">
      <x:c r="A21" s="46" t="str">
        <x:v>¿Por qué no usar CSV para todo?</x:v>
      </x:c>
      <x:c r="B21" s="38"/>
      <x:c r="C21" s="38"/>
      <x:c r="D21" s="38"/>
      <x:c r="E21" s="38"/>
      <x:c r="F21" s="38"/>
      <x:c r="G21" s="38"/>
      <x:c r="H21" s="2"/>
      <x:c r="I21" s="2"/>
      <x:c r="J21" s="2"/>
    </x:row>
    <x:row r="22" ht="24" hidden="0" customHeight="1">
      <x:c r="A22" s="46" t="str">
        <x:v>¿Qué diferencia hay entre poda y proyección?</x:v>
      </x:c>
      <x:c r="B22" s="38"/>
      <x:c r="C22" s="38"/>
      <x:c r="D22" s="38"/>
      <x:c r="E22" s="38"/>
      <x:c r="F22" s="38"/>
      <x:c r="G22" s="38"/>
      <x:c r="H22" s="2"/>
      <x:c r="I22" s="2"/>
      <x:c r="J22" s="2"/>
    </x:row>
    <x:row r="23" ht="24" hidden="0" customHeight="1">
      <x:c r="A23" s="46" t="str">
        <x:v>¿Qué problema crea el exceso de archivos pequeños?</x:v>
      </x:c>
      <x:c r="B23" s="38"/>
      <x:c r="C23" s="38"/>
      <x:c r="D23" s="38"/>
      <x:c r="E23" s="38"/>
      <x:c r="F23" s="38"/>
      <x:c r="G23" s="38"/>
      <x:c r="H23" s="2"/>
      <x:c r="I23" s="2"/>
      <x:c r="J23" s="2"/>
    </x:row>
    <x:row r="24" ht="24" hidden="0" customHeight="1">
      <x:c r="A24" s="46" t="str">
        <x:v>¿Qué compatibilidad exige el contrato?</x:v>
      </x:c>
      <x:c r="B24" s="38"/>
      <x:c r="C24" s="38"/>
      <x:c r="D24" s="38"/>
      <x:c r="E24" s="38"/>
      <x:c r="F24" s="38"/>
      <x:c r="G24" s="38"/>
      <x:c r="H24" s="2"/>
      <x:c r="I24" s="2"/>
      <x:c r="J24" s="2"/>
    </x:row>
    <x:row r="25" ht="24" hidden="0" customHeight="1">
      <x:c r="A25" s="46" t="str">
        <x:v>¿Qué métrica usarías además del tiempo local?</x:v>
      </x:c>
      <x:c r="B25" s="38"/>
      <x:c r="C25" s="38"/>
      <x:c r="D25" s="38"/>
      <x:c r="E25" s="38"/>
      <x:c r="F25" s="38"/>
      <x:c r="G25" s="38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D9A8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3" hidden="0" customWidth="1"/>
    <x:col min="3" max="3" width="29" hidden="0" customWidth="1"/>
    <x:col min="4" max="4" width="29" hidden="0" customWidth="1"/>
    <x:col min="5" max="5" width="29" hidden="0" customWidth="1"/>
    <x:col min="6" max="6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Defensa técnica y evaluación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15" hidden="0" customHeight="1">
      <x:c r="A4" s="35" t="str">
        <x:v>Criterio</x:v>
      </x:c>
      <x:c r="B4" s="35" t="str">
        <x:v>Peso</x:v>
      </x:c>
      <x:c r="C4" s="35" t="str">
        <x:v>Nivel 1</x:v>
      </x:c>
      <x:c r="D4" s="35" t="str">
        <x:v>Nivel 2</x:v>
      </x:c>
      <x:c r="E4" s="35" t="str">
        <x:v>Nivel 3</x:v>
      </x:c>
      <x:c r="F4" s="35" t="str">
        <x:v>Puntuación</x:v>
      </x:c>
      <x:c r="G4" s="2"/>
      <x:c r="H4" s="2"/>
      <x:c r="I4" s="2"/>
      <x:c r="J4" s="2"/>
    </x:row>
    <x:row r="5" ht="15" hidden="0" customHeight="1">
      <x:c r="A5" s="46" t="str">
        <x:v>Medición reproducible</x:v>
      </x:c>
      <x:c r="B5" s="49" t="n">
        <x:v>0.2</x:v>
      </x:c>
      <x:c r="C5" s="46" t="str">
        <x:v>Sin datos</x:v>
      </x:c>
      <x:c r="D5" s="46" t="str">
        <x:v>Datos sin control</x:v>
      </x:c>
      <x:c r="E5" s="46" t="str">
        <x:v>Mide y distingue tiempo, bytes y archivos</x:v>
      </x:c>
      <x:c r="F5" s="38"/>
      <x:c r="G5" s="2"/>
      <x:c r="H5" s="2"/>
      <x:c r="I5" s="2"/>
      <x:c r="J5" s="2"/>
    </x:row>
    <x:row r="6" ht="24" hidden="0" customHeight="1">
      <x:c r="A6" s="46" t="str">
        <x:v>Modelo físico</x:v>
      </x:c>
      <x:c r="B6" s="49" t="n">
        <x:v>0.25</x:v>
      </x:c>
      <x:c r="C6" s="46" t="str">
        <x:v>Enumera formatos</x:v>
      </x:c>
      <x:c r="D6" s="46" t="str">
        <x:v>Relaciona formato y consulta</x:v>
      </x:c>
      <x:c r="E6" s="46" t="str">
        <x:v>Explica proyección, poda, compresión y small files</x:v>
      </x:c>
      <x:c r="F6" s="38"/>
      <x:c r="G6" s="2"/>
      <x:c r="H6" s="2"/>
      <x:c r="I6" s="2"/>
      <x:c r="J6" s="2"/>
    </x:row>
    <x:row r="7" ht="24" hidden="0" customHeight="1">
      <x:c r="A7" s="46" t="str">
        <x:v>Evolución de esquema</x:v>
      </x:c>
      <x:c r="B7" s="49" t="n">
        <x:v>0.2</x:v>
      </x:c>
      <x:c r="C7" s="46" t="str">
        <x:v>No detecta ruptura</x:v>
      </x:c>
      <x:c r="D7" s="46" t="str">
        <x:v>Detecta ruptura</x:v>
      </x:c>
      <x:c r="E7" s="46" t="str">
        <x:v>Propone compatibilidad y migración verificable</x:v>
      </x:c>
      <x:c r="F7" s="38"/>
      <x:c r="G7" s="2"/>
      <x:c r="H7" s="2"/>
      <x:c r="I7" s="2"/>
      <x:c r="J7" s="2"/>
    </x:row>
    <x:row r="8" ht="24" hidden="0" customHeight="1">
      <x:c r="A8" s="46" t="str">
        <x:v>Decisión arquitectónica</x:v>
      </x:c>
      <x:c r="B8" s="49" t="n">
        <x:v>0.25</x:v>
      </x:c>
      <x:c r="C8" s="46" t="str">
        <x:v>Una solución universal</x:v>
      </x:c>
      <x:c r="D8" s="46" t="str">
        <x:v>Decisión parcialmente razonada</x:v>
      </x:c>
      <x:c r="E8" s="46" t="str">
        <x:v>Decisión por capas con costes y condiciones de revisión</x:v>
      </x:c>
      <x:c r="F8" s="38"/>
      <x:c r="G8" s="2"/>
      <x:c r="H8" s="2"/>
      <x:c r="I8" s="2"/>
      <x:c r="J8" s="2"/>
    </x:row>
    <x:row r="9" ht="24" hidden="0" customHeight="1">
      <x:c r="A9" s="46" t="str">
        <x:v>Defensa</x:v>
      </x:c>
      <x:c r="B9" s="49" t="n">
        <x:v>0.1</x:v>
      </x:c>
      <x:c r="C9" s="46" t="str">
        <x:v>Afirmaciones</x:v>
      </x:c>
      <x:c r="D9" s="46" t="str">
        <x:v>Alguna evidencia</x:v>
      </x:c>
      <x:c r="E9" s="46" t="str">
        <x:v>Argumenta con medidas, límites y contraejemplos</x:v>
      </x:c>
      <x:c r="F9" s="38"/>
      <x:c r="G9" s="2"/>
      <x:c r="H9" s="2"/>
      <x:c r="I9" s="2"/>
      <x:c r="J9" s="2"/>
    </x:row>
    <x:row r="10" ht="15" hidden="0" customHeight="1">
      <x:c r="A10" s="46"/>
      <x:c r="B10" s="46"/>
      <x:c r="C10" s="46"/>
      <x:c r="D10" s="46"/>
      <x:c r="E10" s="46"/>
      <x:c r="F10" s="46"/>
      <x:c r="G10" s="2"/>
      <x:c r="H10" s="2"/>
      <x:c r="I10" s="2"/>
      <x:c r="J10" s="2"/>
    </x:row>
    <x:row r="11" ht="15" hidden="0" customHeight="1">
      <x:c r="A11" s="35" t="str">
        <x:v>Resultado</x:v>
      </x:c>
      <x:c r="B11" s="35" t="str">
        <x:v>Fórmula</x:v>
      </x:c>
      <x:c r="C11" s="35" t="str">
        <x:v>Máximo</x:v>
      </x:c>
      <x:c r="D11" s="35" t="str">
        <x:v>Observación docente</x:v>
      </x:c>
      <x:c r="E11" s="35" t="str">
        <x:v>Pregunta de réplica</x:v>
      </x:c>
      <x:c r="F11" s="46"/>
      <x:c r="G11" s="2"/>
      <x:c r="H11" s="2"/>
      <x:c r="I11" s="2"/>
      <x:c r="J11" s="2"/>
    </x:row>
    <x:row r="12" ht="15" hidden="0" customHeight="1">
      <x:c r="A12" s="46" t="str">
        <x:v>Nota ponderada sobre 10</x:v>
      </x:c>
      <x:c r="B12" s="46" t="str">
        <x:f>IF(COUNT(F5:F9)=5,SUMPRODUCT(B5:B9,F5:F9)/3*10,"")</x:f>
      </x:c>
      <x:c r="C12" s="46" t="n">
        <x:v>10</x:v>
      </x:c>
      <x:c r="D12" s="38"/>
      <x:c r="E12" s="38"/>
      <x:c r="F12" s="46"/>
      <x:c r="G12" s="2"/>
      <x:c r="H12" s="2"/>
      <x:c r="I12" s="2"/>
      <x:c r="J12" s="2"/>
    </x:row>
    <x:row r="13" ht="15" hidden="0" customHeight="1">
      <x:c r="A13" s="46"/>
      <x:c r="B13" s="46"/>
      <x:c r="C13" s="46"/>
      <x:c r="D13" s="38"/>
      <x:c r="E13" s="38"/>
      <x:c r="F13" s="46"/>
      <x:c r="G13" s="2"/>
      <x:c r="H13" s="2"/>
      <x:c r="I13" s="2"/>
      <x:c r="J13" s="2"/>
    </x:row>
    <x:row r="14" ht="15" hidden="0" customHeight="1">
      <x:c r="A14" s="46"/>
      <x:c r="B14" s="46"/>
      <x:c r="C14" s="46"/>
      <x:c r="D14" s="38"/>
      <x:c r="E14" s="38"/>
      <x:c r="F14" s="46"/>
      <x:c r="G14" s="2"/>
      <x:c r="H14" s="2"/>
      <x:c r="I14" s="2"/>
      <x:c r="J14" s="2"/>
    </x:row>
    <x:row r="15" ht="15" hidden="0" customHeight="1">
      <x:c r="A15" s="46"/>
      <x:c r="B15" s="46"/>
      <x:c r="C15" s="46"/>
      <x:c r="D15" s="46"/>
      <x:c r="E15" s="46"/>
      <x:c r="F15" s="46"/>
      <x:c r="G15" s="2"/>
      <x:c r="H15" s="2"/>
      <x:c r="I15" s="2"/>
      <x:c r="J15" s="2"/>
    </x:row>
    <x:row r="16" ht="24" hidden="0" customHeight="1">
      <x:c r="A16" s="35" t="str">
        <x:v>Guion de defensa (4 minutos)</x:v>
      </x:c>
      <x:c r="B16" s="35" t="str">
        <x:v>1. Evidencia</x:v>
      </x:c>
      <x:c r="C16" s="35" t="str">
        <x:v>2. Decisión</x:v>
      </x:c>
      <x:c r="D16" s="35" t="str">
        <x:v>3. Coste</x:v>
      </x:c>
      <x:c r="E16" s="35" t="str">
        <x:v>4. Riesgo</x:v>
      </x:c>
      <x:c r="F16" s="35" t="str">
        <x:v>5. Condición de cambio</x:v>
      </x:c>
      <x:c r="G16" s="2"/>
      <x:c r="H16" s="2"/>
      <x:c r="I16" s="2"/>
      <x:c r="J16" s="2"/>
    </x:row>
    <x:row r="17" ht="15" hidden="0" customHeight="1">
      <x:c r="A17" s="38"/>
      <x:c r="B17" s="38"/>
      <x:c r="C17" s="38"/>
      <x:c r="D17" s="38"/>
      <x:c r="E17" s="38"/>
      <x:c r="F17" s="38"/>
      <x:c r="G17" s="2"/>
      <x:c r="H17" s="2"/>
      <x:c r="I17" s="2"/>
      <x:c r="J17" s="2"/>
    </x:row>
    <x:row r="18" ht="15" hidden="0" customHeight="1">
      <x:c r="A18" s="38"/>
      <x:c r="B18" s="38"/>
      <x:c r="C18" s="38"/>
      <x:c r="D18" s="38"/>
      <x:c r="E18" s="38"/>
      <x:c r="F18" s="38"/>
      <x:c r="G18" s="2"/>
      <x:c r="H18" s="2"/>
      <x:c r="I18" s="2"/>
      <x:c r="J18" s="2"/>
    </x:row>
    <x:row r="19" ht="15" hidden="0" customHeight="1">
      <x:c r="A19" s="38"/>
      <x:c r="B19" s="38"/>
      <x:c r="C19" s="38"/>
      <x:c r="D19" s="38"/>
      <x:c r="E19" s="38"/>
      <x:c r="F19" s="38"/>
      <x:c r="G19" s="2"/>
      <x:c r="H19" s="2"/>
      <x:c r="I19" s="2"/>
      <x:c r="J19" s="2"/>
    </x:row>
    <x:row r="20" ht="15" hidden="0" customHeight="1">
      <x:c r="A20" s="38"/>
      <x:c r="B20" s="38"/>
      <x:c r="C20" s="38"/>
      <x:c r="D20" s="38"/>
      <x:c r="E20" s="38"/>
      <x:c r="F20" s="38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</x:sheetData>
  <x:dataValidations count="1">
    <x:dataValidation type="whole" operator="between" sqref="F5:F9">
      <x:formula1>1</x:formula1>
      <x:formula2>3</x:formula2>
    </x:dataValidation>
  </x:dataValidations>
  <x:pageMargins left="0.7" right="0.7" top="0.75" bottom="0.75" header="0.3" footer="0.3"/>
</x:worksheet>
</file>